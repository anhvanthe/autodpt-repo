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ti\.solutions\03.Power Semiconductor\DPT data\DPT_6IN1_comparison\Infineon\Wphase_HS_400V_Ron3-Roff6.6\Wphase_HS_400V_Ron3-Roff6.6\"/>
    </mc:Choice>
  </mc:AlternateContent>
  <xr:revisionPtr revIDLastSave="0" documentId="13_ncr:1_{83083ACD-F919-4478-BB9C-F9F451D41711}" xr6:coauthVersionLast="47" xr6:coauthVersionMax="47" xr10:uidLastSave="{00000000-0000-0000-0000-000000000000}"/>
  <bookViews>
    <workbookView xWindow="-108" yWindow="-108" windowWidth="22080" windowHeight="13176" xr2:uid="{4DC27B52-DBC0-4E25-913F-50006575F897}"/>
  </bookViews>
  <sheets>
    <sheet name="FS820_6IN1_Wphase_HS_400V_50-95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1" i="1" l="1"/>
  <c r="B31" i="1"/>
  <c r="D31" i="1" s="1"/>
  <c r="C29" i="1"/>
  <c r="C28" i="1"/>
  <c r="C27" i="1"/>
  <c r="C26" i="1"/>
  <c r="C25" i="1"/>
  <c r="C31" i="1" l="1"/>
</calcChain>
</file>

<file path=xl/sharedStrings.xml><?xml version="1.0" encoding="utf-8"?>
<sst xmlns="http://schemas.openxmlformats.org/spreadsheetml/2006/main" count="139" uniqueCount="78">
  <si>
    <t>Measurement Point</t>
  </si>
  <si>
    <t>Date Time</t>
  </si>
  <si>
    <t>Temperature</t>
  </si>
  <si>
    <t>High-side measurement?</t>
  </si>
  <si>
    <t>Set voltage</t>
  </si>
  <si>
    <t>Measured voltage offset</t>
  </si>
  <si>
    <t>Set current</t>
  </si>
  <si>
    <t>Resistance on</t>
  </si>
  <si>
    <t>Resistance off</t>
  </si>
  <si>
    <t>Gate voltage on</t>
  </si>
  <si>
    <t>Gate voltage off</t>
  </si>
  <si>
    <t>Load inductance</t>
  </si>
  <si>
    <t>Turn-on energy</t>
  </si>
  <si>
    <t>Turn-off energy</t>
  </si>
  <si>
    <t>Turn-on delay</t>
  </si>
  <si>
    <t>Rise time</t>
  </si>
  <si>
    <t>Turn-off delay</t>
  </si>
  <si>
    <t>Fall time</t>
  </si>
  <si>
    <t>Reverse recovery time</t>
  </si>
  <si>
    <t>Reverse recovery charge</t>
  </si>
  <si>
    <t>Maximum reverse current</t>
  </si>
  <si>
    <t>Reverse recovery softness factor</t>
  </si>
  <si>
    <t>Reverse recovery energy</t>
  </si>
  <si>
    <t>Dv/Dt Turn-on</t>
  </si>
  <si>
    <t>Di/Dt Turn-on</t>
  </si>
  <si>
    <t>Dv/Dt Turn-off</t>
  </si>
  <si>
    <t>Di/Dt Turn-off</t>
  </si>
  <si>
    <t>Duration first pulse</t>
  </si>
  <si>
    <t>Pulse break</t>
  </si>
  <si>
    <t>Duration second pulse</t>
  </si>
  <si>
    <t>Measured current (on)</t>
  </si>
  <si>
    <t>Measured current (off)</t>
  </si>
  <si>
    <t>Measured voltage (on)</t>
  </si>
  <si>
    <t>Measured voltage (off)</t>
  </si>
  <si>
    <t>Voltage overshoot</t>
  </si>
  <si>
    <t>Complementary Maximum Current (off)</t>
  </si>
  <si>
    <t>Complementary Maximum Voltage (on)</t>
  </si>
  <si>
    <t>Complementary Maximum Gate Voltage (on)</t>
  </si>
  <si>
    <t>Complementary Maximum Gate Voltage (off)</t>
  </si>
  <si>
    <t>Complementary Minimum Gate Voltage (on)</t>
  </si>
  <si>
    <t>Complementary Minimum Gate Voltage (off)</t>
  </si>
  <si>
    <t>Total Stray Inductance</t>
  </si>
  <si>
    <t>Single skew</t>
  </si>
  <si>
    <t>Turn-on energy (single de-skew)</t>
  </si>
  <si>
    <t>Turn-off energy (single de-skew)</t>
  </si>
  <si>
    <t>Turn-on delay (single de-skew)</t>
  </si>
  <si>
    <t>Rise time (single de-skew)</t>
  </si>
  <si>
    <t>Turn-off delay (single de-skew)</t>
  </si>
  <si>
    <t>Fall time (single de-skew)</t>
  </si>
  <si>
    <t>Reverse recovery energy (single de-skew)</t>
  </si>
  <si>
    <t>Statistic skew</t>
  </si>
  <si>
    <t>Turn-on energy (statistic de-skew)</t>
  </si>
  <si>
    <t>Turn-off energy (statistic de-skew)</t>
  </si>
  <si>
    <t>Turn-on delay (statistic de-skew)</t>
  </si>
  <si>
    <t>Rise time (statistic de-skew)</t>
  </si>
  <si>
    <t>Turn-off delay (statistic de-skew)</t>
  </si>
  <si>
    <t>Fall time (statistic de-skew)</t>
  </si>
  <si>
    <t>Reverse recovery energy (statistic de-skew)</t>
  </si>
  <si>
    <t>sweep bool</t>
  </si>
  <si>
    <t>Â°C</t>
  </si>
  <si>
    <t>(bool)</t>
  </si>
  <si>
    <t>V</t>
  </si>
  <si>
    <t>A</t>
  </si>
  <si>
    <t>Ohm</t>
  </si>
  <si>
    <t>uH</t>
  </si>
  <si>
    <t>uJ</t>
  </si>
  <si>
    <t>ns</t>
  </si>
  <si>
    <t>pQ</t>
  </si>
  <si>
    <t>unitless</t>
  </si>
  <si>
    <t>V/ns</t>
  </si>
  <si>
    <t>A/ns</t>
  </si>
  <si>
    <t>us</t>
  </si>
  <si>
    <t>nH</t>
  </si>
  <si>
    <t>NaN</t>
  </si>
  <si>
    <t>Date</t>
  </si>
  <si>
    <t>C</t>
  </si>
  <si>
    <t xml:space="preserve">Voltage </t>
  </si>
  <si>
    <t>Current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</si>
</sst>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22" fontId="0" fillId="0" borderId="0" xfId="0" applyNumberFormat="1"/>
    <xf numFmtId="164" fontId="0" fillId="0" borderId="0" xfId="0" applyNumberFormat="1" applyAlignment="1">
      <alignment horizontal="left" indent="2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1F005C-2591-427F-AC26-EE9D9A27CD9C}">
  <dimension ref="A1:BG49"/>
  <sheetViews>
    <sheetView tabSelected="1" workbookViewId="0">
      <selection activeCell="A6" sqref="A6"/>
    </sheetView>
  </sheetViews>
  <sheetFormatPr defaultRowHeight="14.4" x14ac:dyDescent="0.3"/>
  <cols>
    <col min="2" max="2" width="14.33203125" bestFit="1" customWidth="1"/>
    <col min="3" max="3" width="14.109375" bestFit="1" customWidth="1"/>
    <col min="4" max="4" width="21.21875" bestFit="1" customWidth="1"/>
    <col min="5" max="5" width="20.44140625" bestFit="1" customWidth="1"/>
  </cols>
  <sheetData>
    <row r="1" spans="1:5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</row>
    <row r="2" spans="1:59" x14ac:dyDescent="0.3">
      <c r="C2" t="s">
        <v>59</v>
      </c>
      <c r="D2" t="s">
        <v>60</v>
      </c>
      <c r="E2" t="s">
        <v>61</v>
      </c>
      <c r="F2" t="s">
        <v>61</v>
      </c>
      <c r="G2" t="s">
        <v>62</v>
      </c>
      <c r="H2" t="s">
        <v>63</v>
      </c>
      <c r="I2" t="s">
        <v>63</v>
      </c>
      <c r="J2" t="s">
        <v>61</v>
      </c>
      <c r="K2" t="s">
        <v>61</v>
      </c>
      <c r="L2" t="s">
        <v>64</v>
      </c>
      <c r="M2" t="s">
        <v>65</v>
      </c>
      <c r="N2" t="s">
        <v>65</v>
      </c>
      <c r="O2" t="s">
        <v>66</v>
      </c>
      <c r="P2" t="s">
        <v>66</v>
      </c>
      <c r="Q2" t="s">
        <v>66</v>
      </c>
      <c r="R2" t="s">
        <v>66</v>
      </c>
      <c r="S2" t="s">
        <v>66</v>
      </c>
      <c r="T2" t="s">
        <v>67</v>
      </c>
      <c r="U2" t="s">
        <v>62</v>
      </c>
      <c r="V2" t="s">
        <v>68</v>
      </c>
      <c r="W2" t="s">
        <v>65</v>
      </c>
      <c r="X2" t="s">
        <v>69</v>
      </c>
      <c r="Y2" t="s">
        <v>70</v>
      </c>
      <c r="Z2" t="s">
        <v>69</v>
      </c>
      <c r="AA2" t="s">
        <v>70</v>
      </c>
      <c r="AB2" t="s">
        <v>71</v>
      </c>
      <c r="AC2" t="s">
        <v>71</v>
      </c>
      <c r="AD2" t="s">
        <v>71</v>
      </c>
      <c r="AE2" t="s">
        <v>62</v>
      </c>
      <c r="AF2" t="s">
        <v>62</v>
      </c>
      <c r="AG2" t="s">
        <v>61</v>
      </c>
      <c r="AH2" t="s">
        <v>61</v>
      </c>
      <c r="AI2" t="s">
        <v>61</v>
      </c>
      <c r="AJ2" t="s">
        <v>62</v>
      </c>
      <c r="AK2" t="s">
        <v>61</v>
      </c>
      <c r="AL2" t="s">
        <v>61</v>
      </c>
      <c r="AM2" t="s">
        <v>61</v>
      </c>
      <c r="AN2" t="s">
        <v>61</v>
      </c>
      <c r="AO2" t="s">
        <v>61</v>
      </c>
      <c r="AP2" t="s">
        <v>72</v>
      </c>
      <c r="AQ2" t="s">
        <v>66</v>
      </c>
      <c r="AR2" t="s">
        <v>65</v>
      </c>
      <c r="AS2" t="s">
        <v>65</v>
      </c>
      <c r="AT2" t="s">
        <v>66</v>
      </c>
      <c r="AU2" t="s">
        <v>66</v>
      </c>
      <c r="AV2" t="s">
        <v>66</v>
      </c>
      <c r="AW2" t="s">
        <v>66</v>
      </c>
      <c r="AX2" t="s">
        <v>65</v>
      </c>
      <c r="AY2" t="s">
        <v>66</v>
      </c>
      <c r="AZ2" t="s">
        <v>65</v>
      </c>
      <c r="BA2" t="s">
        <v>65</v>
      </c>
      <c r="BB2" t="s">
        <v>66</v>
      </c>
      <c r="BC2" t="s">
        <v>66</v>
      </c>
      <c r="BD2" t="s">
        <v>66</v>
      </c>
      <c r="BE2" t="s">
        <v>66</v>
      </c>
      <c r="BF2" t="s">
        <v>65</v>
      </c>
    </row>
    <row r="3" spans="1:59" x14ac:dyDescent="0.3">
      <c r="A3">
        <v>1</v>
      </c>
      <c r="B3" s="1">
        <v>45862.419699074075</v>
      </c>
      <c r="C3">
        <v>125</v>
      </c>
      <c r="D3" t="b">
        <v>1</v>
      </c>
      <c r="E3">
        <v>400</v>
      </c>
      <c r="F3" t="s">
        <v>73</v>
      </c>
      <c r="G3">
        <v>50</v>
      </c>
      <c r="H3">
        <v>3</v>
      </c>
      <c r="I3">
        <v>6.6</v>
      </c>
      <c r="J3">
        <v>15.5</v>
      </c>
      <c r="K3">
        <v>-6.5</v>
      </c>
      <c r="L3">
        <v>54</v>
      </c>
      <c r="M3">
        <v>2772.22</v>
      </c>
      <c r="N3">
        <v>4379.22</v>
      </c>
      <c r="O3">
        <v>376.78</v>
      </c>
      <c r="P3">
        <v>36</v>
      </c>
      <c r="Q3">
        <v>1623.14</v>
      </c>
      <c r="R3">
        <v>248.79</v>
      </c>
      <c r="S3">
        <v>112.8</v>
      </c>
      <c r="T3">
        <v>11703273.220000001</v>
      </c>
      <c r="U3">
        <v>155.88</v>
      </c>
      <c r="V3">
        <v>-0.55000000000000004</v>
      </c>
      <c r="W3">
        <v>3022.43</v>
      </c>
      <c r="X3">
        <v>-4.13</v>
      </c>
      <c r="Y3">
        <v>1.84</v>
      </c>
      <c r="Z3">
        <v>1.62</v>
      </c>
      <c r="AA3">
        <v>-0.22</v>
      </c>
      <c r="AB3">
        <v>6.79</v>
      </c>
      <c r="AC3">
        <v>4</v>
      </c>
      <c r="AD3">
        <v>4</v>
      </c>
      <c r="AE3">
        <v>68.83</v>
      </c>
      <c r="AF3">
        <v>45.29</v>
      </c>
      <c r="AG3">
        <v>408.98</v>
      </c>
      <c r="AH3">
        <v>405.94</v>
      </c>
      <c r="AI3">
        <v>431.98</v>
      </c>
      <c r="AJ3">
        <v>-0.24</v>
      </c>
      <c r="AK3">
        <v>431.72</v>
      </c>
      <c r="AL3">
        <v>-5.04</v>
      </c>
      <c r="AM3">
        <v>-5.46</v>
      </c>
      <c r="AN3">
        <v>-7.19</v>
      </c>
      <c r="AO3">
        <v>-7.02</v>
      </c>
      <c r="AP3">
        <v>23.49</v>
      </c>
      <c r="AQ3">
        <v>6.4</v>
      </c>
      <c r="AR3">
        <v>3082.81</v>
      </c>
      <c r="AS3">
        <v>4236.67</v>
      </c>
      <c r="AT3">
        <v>370.39</v>
      </c>
      <c r="AU3">
        <v>36</v>
      </c>
      <c r="AV3">
        <v>1616.74</v>
      </c>
      <c r="AW3">
        <v>248.39</v>
      </c>
      <c r="AX3">
        <v>0</v>
      </c>
      <c r="AY3" t="s">
        <v>73</v>
      </c>
      <c r="AZ3" t="s">
        <v>73</v>
      </c>
      <c r="BA3" t="s">
        <v>73</v>
      </c>
      <c r="BB3" t="s">
        <v>73</v>
      </c>
      <c r="BC3" t="s">
        <v>73</v>
      </c>
      <c r="BD3" t="s">
        <v>73</v>
      </c>
      <c r="BE3" t="s">
        <v>73</v>
      </c>
      <c r="BF3" t="s">
        <v>73</v>
      </c>
      <c r="BG3" t="b">
        <v>0</v>
      </c>
    </row>
    <row r="4" spans="1:59" x14ac:dyDescent="0.3">
      <c r="A4">
        <v>2</v>
      </c>
      <c r="B4" s="1"/>
    </row>
    <row r="5" spans="1:59" x14ac:dyDescent="0.3">
      <c r="A5">
        <v>3</v>
      </c>
      <c r="B5" s="1"/>
    </row>
    <row r="6" spans="1:59" x14ac:dyDescent="0.3">
      <c r="B6" s="1"/>
    </row>
    <row r="7" spans="1:59" x14ac:dyDescent="0.3">
      <c r="B7" s="1"/>
    </row>
    <row r="8" spans="1:59" x14ac:dyDescent="0.3">
      <c r="B8" s="1"/>
    </row>
    <row r="9" spans="1:59" x14ac:dyDescent="0.3">
      <c r="B9" s="1"/>
    </row>
    <row r="10" spans="1:59" x14ac:dyDescent="0.3">
      <c r="B10" s="1"/>
    </row>
    <row r="11" spans="1:59" x14ac:dyDescent="0.3">
      <c r="B11" s="1"/>
    </row>
    <row r="12" spans="1:59" x14ac:dyDescent="0.3">
      <c r="B12" s="1"/>
    </row>
    <row r="13" spans="1:59" x14ac:dyDescent="0.3">
      <c r="B13" s="1"/>
    </row>
    <row r="14" spans="1:59" x14ac:dyDescent="0.3">
      <c r="B14" s="1"/>
    </row>
    <row r="15" spans="1:59" x14ac:dyDescent="0.3">
      <c r="B15" s="1"/>
    </row>
    <row r="16" spans="1:59" x14ac:dyDescent="0.3">
      <c r="B16" s="1"/>
    </row>
    <row r="17" spans="2:5" x14ac:dyDescent="0.3">
      <c r="B17" s="1"/>
    </row>
    <row r="18" spans="2:5" x14ac:dyDescent="0.3">
      <c r="B18" s="1"/>
    </row>
    <row r="19" spans="2:5" x14ac:dyDescent="0.3">
      <c r="B19" s="1"/>
    </row>
    <row r="20" spans="2:5" x14ac:dyDescent="0.3">
      <c r="B20" s="1"/>
    </row>
    <row r="21" spans="2:5" x14ac:dyDescent="0.3">
      <c r="B21" s="1"/>
    </row>
    <row r="25" spans="2:5" x14ac:dyDescent="0.3">
      <c r="B25" t="s">
        <v>74</v>
      </c>
      <c r="C25" s="1">
        <f>B3</f>
        <v>45862.419699074075</v>
      </c>
    </row>
    <row r="26" spans="2:5" x14ac:dyDescent="0.3">
      <c r="B26" t="s">
        <v>2</v>
      </c>
      <c r="C26">
        <f>C3</f>
        <v>125</v>
      </c>
      <c r="D26" t="s">
        <v>75</v>
      </c>
    </row>
    <row r="27" spans="2:5" x14ac:dyDescent="0.3">
      <c r="B27" t="s">
        <v>76</v>
      </c>
      <c r="C27">
        <f>E3</f>
        <v>400</v>
      </c>
      <c r="D27" t="s">
        <v>61</v>
      </c>
    </row>
    <row r="28" spans="2:5" x14ac:dyDescent="0.3">
      <c r="B28" t="s">
        <v>7</v>
      </c>
      <c r="C28">
        <f>H3</f>
        <v>3</v>
      </c>
      <c r="D28" t="s">
        <v>63</v>
      </c>
      <c r="E28" t="s">
        <v>9</v>
      </c>
    </row>
    <row r="29" spans="2:5" x14ac:dyDescent="0.3">
      <c r="B29" t="s">
        <v>8</v>
      </c>
      <c r="C29">
        <f>I3</f>
        <v>6.6</v>
      </c>
      <c r="D29" t="s">
        <v>63</v>
      </c>
      <c r="E29" t="s">
        <v>10</v>
      </c>
    </row>
    <row r="30" spans="2:5" x14ac:dyDescent="0.3">
      <c r="B30" t="s">
        <v>77</v>
      </c>
      <c r="C30" t="s">
        <v>12</v>
      </c>
      <c r="D30" t="s">
        <v>13</v>
      </c>
      <c r="E30" t="s">
        <v>22</v>
      </c>
    </row>
    <row r="31" spans="2:5" x14ac:dyDescent="0.3">
      <c r="B31">
        <f>G3</f>
        <v>50</v>
      </c>
      <c r="C31" s="2">
        <f>M3*(B31/AE3)*(E3/AG3)</f>
        <v>1969.5991488255595</v>
      </c>
      <c r="D31" s="2">
        <f>N3*(B31/AF3)*(E3/AH3)</f>
        <v>4763.8995015431747</v>
      </c>
      <c r="E31" s="2">
        <f>W3*(E3/AG3)*(B31/AE3)^0.5</f>
        <v>2519.4763696933401</v>
      </c>
    </row>
    <row r="32" spans="2:5" x14ac:dyDescent="0.3">
      <c r="C32" s="2"/>
      <c r="D32" s="2"/>
      <c r="E32" s="2"/>
    </row>
    <row r="33" spans="3:5" x14ac:dyDescent="0.3">
      <c r="C33" s="2"/>
      <c r="D33" s="2"/>
      <c r="E33" s="2"/>
    </row>
    <row r="34" spans="3:5" x14ac:dyDescent="0.3">
      <c r="C34" s="2"/>
      <c r="D34" s="2"/>
      <c r="E34" s="2"/>
    </row>
    <row r="35" spans="3:5" x14ac:dyDescent="0.3">
      <c r="C35" s="2"/>
      <c r="D35" s="2"/>
      <c r="E35" s="2"/>
    </row>
    <row r="36" spans="3:5" x14ac:dyDescent="0.3">
      <c r="C36" s="2"/>
      <c r="D36" s="2"/>
      <c r="E36" s="2"/>
    </row>
    <row r="37" spans="3:5" x14ac:dyDescent="0.3">
      <c r="C37" s="2"/>
      <c r="D37" s="2"/>
      <c r="E37" s="2"/>
    </row>
    <row r="38" spans="3:5" x14ac:dyDescent="0.3">
      <c r="C38" s="2"/>
      <c r="D38" s="2"/>
      <c r="E38" s="2"/>
    </row>
    <row r="39" spans="3:5" x14ac:dyDescent="0.3">
      <c r="C39" s="2"/>
      <c r="D39" s="2"/>
      <c r="E39" s="2"/>
    </row>
    <row r="40" spans="3:5" x14ac:dyDescent="0.3">
      <c r="C40" s="2"/>
      <c r="D40" s="2"/>
      <c r="E40" s="2"/>
    </row>
    <row r="41" spans="3:5" x14ac:dyDescent="0.3">
      <c r="C41" s="2"/>
      <c r="D41" s="2"/>
      <c r="E41" s="2"/>
    </row>
    <row r="42" spans="3:5" x14ac:dyDescent="0.3">
      <c r="C42" s="2"/>
      <c r="D42" s="2"/>
      <c r="E42" s="2"/>
    </row>
    <row r="43" spans="3:5" x14ac:dyDescent="0.3">
      <c r="C43" s="2"/>
      <c r="D43" s="2"/>
      <c r="E43" s="2"/>
    </row>
    <row r="44" spans="3:5" x14ac:dyDescent="0.3">
      <c r="C44" s="2"/>
      <c r="D44" s="2"/>
      <c r="E44" s="2"/>
    </row>
    <row r="45" spans="3:5" x14ac:dyDescent="0.3">
      <c r="C45" s="2"/>
      <c r="D45" s="2"/>
      <c r="E45" s="2"/>
    </row>
    <row r="46" spans="3:5" x14ac:dyDescent="0.3">
      <c r="C46" s="2"/>
      <c r="D46" s="2"/>
      <c r="E46" s="2"/>
    </row>
    <row r="47" spans="3:5" x14ac:dyDescent="0.3">
      <c r="C47" s="2"/>
      <c r="D47" s="2"/>
      <c r="E47" s="2"/>
    </row>
    <row r="48" spans="3:5" x14ac:dyDescent="0.3">
      <c r="C48" s="2"/>
      <c r="D48" s="2"/>
      <c r="E48" s="2"/>
    </row>
    <row r="49" spans="3:5" x14ac:dyDescent="0.3">
      <c r="C49" s="2"/>
      <c r="D49" s="2"/>
      <c r="E49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FS820_6IN1_Wphase_HS_400V_50-95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Lê Trung Lượm (VF-KPTX-VTKĐĐT)</dc:creator>
  <cp:lastModifiedBy>Phạm Văn Tưởng (VF-KPTX-TKVPTLK)</cp:lastModifiedBy>
  <dcterms:created xsi:type="dcterms:W3CDTF">2025-07-24T08:59:34Z</dcterms:created>
  <dcterms:modified xsi:type="dcterms:W3CDTF">2026-10-21T18:56:15Z</dcterms:modified>
</cp:coreProperties>
</file>